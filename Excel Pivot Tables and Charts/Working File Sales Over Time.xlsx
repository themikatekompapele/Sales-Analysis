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B2\EXCELCNV\19642fc1-abfa-443c-a6b8-5002589b94c4\"/>
    </mc:Choice>
  </mc:AlternateContent>
  <xr:revisionPtr revIDLastSave="0" documentId="8_{DED4BFDD-08C1-4F51-9AA2-9116B1AD23ED}" xr6:coauthVersionLast="47" xr6:coauthVersionMax="47" xr10:uidLastSave="{00000000-0000-0000-0000-000000000000}"/>
  <bookViews>
    <workbookView xWindow="-60" yWindow="-60" windowWidth="15480" windowHeight="11640" xr2:uid="{AF4E2680-3D83-4E97-9148-6061E9F3275B}"/>
  </bookViews>
  <sheets>
    <sheet name="SalesbyYear" sheetId="2" r:id="rId1"/>
    <sheet name="in" sheetId="1" r:id="rId2"/>
  </sheets>
  <calcPr calcId="191028"/>
  <pivotCaches>
    <pivotCache cacheId="51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<sst xmlns="http://schemas.openxmlformats.org/spreadsheetml/2006/main" count="16" uniqueCount="13">
  <si>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Sales Distribution by Year</t>
  </si>
  <si>
    <t>YEAR</t>
  </si>
  <si>
    <t>SALES</t>
  </si>
  <si>
    <t>%Sales</t>
  </si>
  <si>
    <t>Grand Total</t>
  </si>
  <si>
    <t>sale_year</t>
  </si>
  <si>
    <t>Sum of total_sales</t>
  </si>
  <si>
    <t>Sales vs. Cost of Sales Over Time</t>
  </si>
  <si>
    <t>Year</t>
  </si>
  <si>
    <t>Sales</t>
  </si>
  <si>
    <t>Cost of Sales</t>
  </si>
  <si>
    <t>total_sales</t>
  </si>
  <si>
    <t>total_cos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</si>
</sst>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R-1C09]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165" fontId="0" fillId="0" borderId="0" xfId="0" applyNumberFormat="1"/>
    <xf numFmtId="10" fontId="0" fillId="0" borderId="0" xfId="0" applyNumberFormat="1"/>
    <xf numFmtId="0" fontId="16" fillId="33" borderId="10" xfId="0" applyFont="1" applyFill="1" applyBorder="1"/>
    <xf numFmtId="10" fontId="16" fillId="33" borderId="11" xfId="0" applyNumberFormat="1" applyFont="1" applyFill="1" applyBorder="1"/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[$R-1C09]#,##0.00"/>
    </dxf>
    <dxf>
      <numFmt numFmtId="165" formatCode="[$R-1C09]#,##0.00"/>
    </dxf>
    <dxf>
      <numFmt numFmtId="165" formatCode="[$R-1C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Sales Over Time.xlsx]SalesbyYear!PivotTable1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Distribution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916955017301046"/>
              <c:y val="-2.12388840396848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730110142057735"/>
              <c:y val="-8.08259406975940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072662247918472"/>
              <c:y val="-6.3716832163762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117640722994166"/>
              <c:y val="-2.3598820058997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SalesbyYear!$B$6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3AD-476A-9600-8EFBB157B6B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D-476A-9600-8EFBB157B6B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3AD-476A-9600-8EFBB157B6B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D-476A-9600-8EFBB157B6B4}"/>
              </c:ext>
            </c:extLst>
          </c:dPt>
          <c:dLbls>
            <c:dLbl>
              <c:idx val="0"/>
              <c:layout>
                <c:manualLayout>
                  <c:x val="0.21730110142057735"/>
                  <c:y val="-8.0825940697594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AD-476A-9600-8EFBB157B6B4}"/>
                </c:ext>
              </c:extLst>
            </c:dLbl>
            <c:dLbl>
              <c:idx val="1"/>
              <c:layout>
                <c:manualLayout>
                  <c:x val="0.15916955017301046"/>
                  <c:y val="-2.1238884039684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AD-476A-9600-8EFBB157B6B4}"/>
                </c:ext>
              </c:extLst>
            </c:dLbl>
            <c:dLbl>
              <c:idx val="2"/>
              <c:layout>
                <c:manualLayout>
                  <c:x val="-0.24117640722994166"/>
                  <c:y val="-2.3598820058997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AD-476A-9600-8EFBB157B6B4}"/>
                </c:ext>
              </c:extLst>
            </c:dLbl>
            <c:dLbl>
              <c:idx val="3"/>
              <c:layout>
                <c:manualLayout>
                  <c:x val="-0.21072662247918472"/>
                  <c:y val="-6.3716832163762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AD-476A-9600-8EFBB157B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SalesbyYear!$A$7:$A$11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SalesbyYear!$B$7:$B$11</c:f>
              <c:numCache>
                <c:formatCode>[$R-1C09]#,##0.00</c:formatCode>
                <c:ptCount val="4"/>
                <c:pt idx="0">
                  <c:v>524283.44999999902</c:v>
                </c:pt>
                <c:pt idx="1">
                  <c:v>75414975.640000001</c:v>
                </c:pt>
                <c:pt idx="2">
                  <c:v>64017593.3699999</c:v>
                </c:pt>
                <c:pt idx="3">
                  <c:v>46952975.670000002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D-476A-9600-8EFBB157B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Sales Over Time.xlsx]SalesbyYear!PivotTable2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vs. Cost of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layout>
            <c:manualLayout>
              <c:x val="-0.13127036824676816"/>
              <c:y val="-7.26190294538225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layout>
            <c:manualLayout>
              <c:x val="3.1270378187347313E-2"/>
              <c:y val="-9.46428208124069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layout>
            <c:manualLayout>
              <c:x val="-2.2800706496844464E-3"/>
              <c:y val="0.13750003633045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layout>
            <c:manualLayout>
              <c:x val="8.2084680613166733E-2"/>
              <c:y val="-9.76190112885974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layout>
            <c:manualLayout>
              <c:x val="-1.0749145905435747E-2"/>
              <c:y val="0.13571430387951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layout>
            <c:manualLayout>
              <c:x val="-4.6254012017762622E-2"/>
              <c:y val="9.28571973528180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SalesbyYear!$B$29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637CEF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0749145905435747E-2"/>
                  <c:y val="0.135714303879510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50-4C77-B9F7-A224D702B285}"/>
                </c:ext>
              </c:extLst>
            </c:dLbl>
            <c:dLbl>
              <c:idx val="2"/>
              <c:layout>
                <c:manualLayout>
                  <c:x val="-4.6254012017762622E-2"/>
                  <c:y val="9.2857197352818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50-4C77-B9F7-A224D702B2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SalesbyYear!$A$30:$A$34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SalesbyYear!$B$30:$B$34</c:f>
              <c:numCache>
                <c:formatCode>[$R-1C09]#,##0.00</c:formatCode>
                <c:ptCount val="4"/>
                <c:pt idx="0">
                  <c:v>524283.44999999902</c:v>
                </c:pt>
                <c:pt idx="1">
                  <c:v>75414975.640000001</c:v>
                </c:pt>
                <c:pt idx="2">
                  <c:v>64017593.3699999</c:v>
                </c:pt>
                <c:pt idx="3">
                  <c:v>46952975.670000002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0-4C77-B9F7-A224D702B285}"/>
            </c:ext>
          </c:extLst>
        </c:ser>
        <c:ser>
          <c:idx val="1"/>
          <c:order val="1"/>
          <c:tx>
            <c:strRef>
              <c:f>SalesbyYear!$C$29</c:f>
              <c:strCache>
                <c:ptCount val="1"/>
                <c:pt idx="0">
                  <c:v>Cost of Sales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E3008C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2084680613166733E-2"/>
                  <c:y val="-9.76190112885974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50-4C77-B9F7-A224D702B285}"/>
                </c:ext>
              </c:extLst>
            </c:dLbl>
            <c:dLbl>
              <c:idx val="1"/>
              <c:layout>
                <c:manualLayout>
                  <c:x val="-0.13127036824676816"/>
                  <c:y val="-7.2619029453822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50-4C77-B9F7-A224D702B285}"/>
                </c:ext>
              </c:extLst>
            </c:dLbl>
            <c:dLbl>
              <c:idx val="2"/>
              <c:layout>
                <c:manualLayout>
                  <c:x val="3.1270378187347313E-2"/>
                  <c:y val="-9.4642820812406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50-4C77-B9F7-A224D702B285}"/>
                </c:ext>
              </c:extLst>
            </c:dLbl>
            <c:dLbl>
              <c:idx val="3"/>
              <c:layout>
                <c:manualLayout>
                  <c:x val="-2.2800706496844464E-3"/>
                  <c:y val="0.13750003633045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50-4C77-B9F7-A224D702B2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SalesbyYear!$A$30:$A$34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SalesbyYear!$C$30:$C$34</c:f>
              <c:numCache>
                <c:formatCode>[$R-1C09]#,##0.00</c:formatCode>
                <c:ptCount val="4"/>
                <c:pt idx="0">
                  <c:v>537065.74</c:v>
                </c:pt>
                <c:pt idx="1">
                  <c:v>77680849.659999996</c:v>
                </c:pt>
                <c:pt idx="2">
                  <c:v>67917203.959999904</c:v>
                </c:pt>
                <c:pt idx="3">
                  <c:v>47890990.25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50-4C77-B9F7-A224D702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066056"/>
        <c:axId val="1904080392"/>
      </c:lineChart>
      <c:catAx>
        <c:axId val="190406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4080392"/>
        <c:crosses val="autoZero"/>
        <c:auto val="1"/>
        <c:lblAlgn val="ctr"/>
        <c:lblOffset val="100"/>
        <c:noMultiLvlLbl val="0"/>
      </c:catAx>
      <c:valAx>
        <c:axId val="1904080392"/>
        <c:scaling>
          <c:orientation val="minMax"/>
        </c:scaling>
        <c:delete val="1"/>
        <c:axPos val="l"/>
        <c:numFmt formatCode="[$R-1C09]#,##0.00" sourceLinked="1"/>
        <c:majorTickMark val="none"/>
        <c:minorTickMark val="none"/>
        <c:tickLblPos val="nextTo"/>
        <c:crossAx val="190406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171450</xdr:rowOff>
    </xdr:from>
    <xdr:to>
      <xdr:col>12</xdr:col>
      <xdr:colOff>257175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687E6-E45A-C184-DFDC-F4ABF98AB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27</xdr:row>
      <xdr:rowOff>171450</xdr:rowOff>
    </xdr:from>
    <xdr:to>
      <xdr:col>13</xdr:col>
      <xdr:colOff>76200</xdr:colOff>
      <xdr:row>44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21A11-B560-EFD1-BE60-71C385EE4B5C}"/>
            </a:ext>
            <a:ext uri="{147F2762-F138-4A5C-976F-8EAC2B608ADB}">
              <a16:predDERef xmlns:a16="http://schemas.microsoft.com/office/drawing/2014/main" pred="{772687E6-E45A-C184-DFDC-F4ABF98AB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6.438881365742" createdVersion="8" refreshedVersion="8" minRefreshableVersion="3" recordCount="4" xr:uid="{2113D1F6-E2DC-4937-9BEE-AD221C388B17}">
  <cacheSource type="worksheet">
    <worksheetSource ref="A1:C5" sheet="in"/>
  </cacheSource>
  <cacheFields count="3">
    <cacheField name="sale_year" numFmtId="0">
      <sharedItems containsSemiMixedTypes="0" containsString="0" containsNumber="1" containsInteger="1" minValue="2013" maxValue="2016" count="4">
        <n v="2013"/>
        <n v="2014"/>
        <n v="2015"/>
        <n v="2016"/>
      </sharedItems>
    </cacheField>
    <cacheField name="total_sales" numFmtId="0">
      <sharedItems containsSemiMixedTypes="0" containsString="0" containsNumber="1" minValue="524283.44999999902" maxValue="75414975.640000001"/>
    </cacheField>
    <cacheField name="total_cos" numFmtId="0">
      <sharedItems containsSemiMixedTypes="0" containsString="0" containsNumber="1" minValue="537065.74" maxValue="77680849.65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24283.44999999902"/>
    <n v="537065.74"/>
  </r>
  <r>
    <x v="1"/>
    <n v="75414975.640000001"/>
    <n v="77680849.659999996"/>
  </r>
  <r>
    <x v="2"/>
    <n v="64017593.3699999"/>
    <n v="67917203.959999904"/>
  </r>
  <r>
    <x v="3"/>
    <n v="46952975.670000002"/>
    <n v="4789099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C07E8-86AE-4C9C-B5A8-6BD96B2AE33B}" name="PivotTable4" cacheId="5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3:B18" firstHeaderRow="1" firstDataRow="1" firstDataCol="1"/>
  <pivotFields count="3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465A7-816C-426D-9513-30DAA1A7AD35}" name="PivotTable2" cacheId="5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9:C34" firstHeaderRow="0" firstDataRow="1" firstDataCol="1"/>
  <pivotFields count="3">
    <pivotField name="Year"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" baseField="0" baseItem="0"/>
    <dataField name="Cost of Sales" fld="2" baseField="0" baseItem="0"/>
  </dataFields>
  <formats count="1">
    <format dxfId="2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1B100-E4E4-4E1C-8FE1-CBAC07D3AEDD}" name="PivotTable1" cacheId="5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:B11" firstHeaderRow="1" firstDataRow="1" firstDataCol="1"/>
  <pivotFields count="3">
    <pivotField name="YEAR"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" fld="1" baseField="0" baseItem="0" numFmtId="165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9E1F-1184-4F74-9333-25DAA528382A}">
  <dimension ref="A2:C34"/>
  <sheetViews>
    <sheetView showGridLines="0" tabSelected="1" workbookViewId="0">
      <selection activeCell="C40" sqref="C40"/>
    </sheetView>
  </sheetViews>
  <sheetFormatPr defaultRowHeight="15"/>
  <cols>
    <col min="1" max="1" width="29" bestFit="1" customWidth="1"/>
    <col min="2" max="2" width="15.7109375" customWidth="1"/>
    <col min="3" max="3" width="15.7109375" bestFit="1" customWidth="1"/>
  </cols>
  <sheetData>
    <row r="2" spans="1:3" ht="23.25">
      <c r="A2" s="6" t="s">
        <v>0</v>
      </c>
      <c r="B2" s="7"/>
    </row>
    <row r="6" spans="1:3">
      <c r="A6" s="1" t="s">
        <v>1</v>
      </c>
      <c r="B6" s="2" t="s">
        <v>2</v>
      </c>
      <c r="C6" s="4" t="s">
        <v>3</v>
      </c>
    </row>
    <row r="7" spans="1:3">
      <c r="A7">
        <v>2013</v>
      </c>
      <c r="B7" s="2">
        <v>524283.44999999902</v>
      </c>
      <c r="C7" s="3">
        <v>2.8050073944498426E-3</v>
      </c>
    </row>
    <row r="8" spans="1:3">
      <c r="A8">
        <v>2014</v>
      </c>
      <c r="B8" s="2">
        <v>75414975.640000001</v>
      </c>
      <c r="C8" s="3">
        <v>0.40348320039943114</v>
      </c>
    </row>
    <row r="9" spans="1:3">
      <c r="A9">
        <v>2015</v>
      </c>
      <c r="B9" s="2">
        <v>64017593.3699999</v>
      </c>
      <c r="C9" s="3">
        <v>0.34250522837929231</v>
      </c>
    </row>
    <row r="10" spans="1:3">
      <c r="A10">
        <v>2016</v>
      </c>
      <c r="B10" s="2">
        <v>46952975.670000002</v>
      </c>
      <c r="C10" s="3">
        <v>0.25120656382682649</v>
      </c>
    </row>
    <row r="11" spans="1:3">
      <c r="A11" t="s">
        <v>4</v>
      </c>
      <c r="B11" s="2">
        <v>186909828.12999994</v>
      </c>
      <c r="C11" s="5">
        <v>1</v>
      </c>
    </row>
    <row r="13" spans="1:3">
      <c r="A13" s="1" t="s">
        <v>5</v>
      </c>
      <c r="B13" t="s">
        <v>6</v>
      </c>
    </row>
    <row r="14" spans="1:3">
      <c r="A14">
        <v>2013</v>
      </c>
      <c r="B14" s="3">
        <v>2.8050073944498426E-3</v>
      </c>
    </row>
    <row r="15" spans="1:3">
      <c r="A15">
        <v>2014</v>
      </c>
      <c r="B15" s="3">
        <v>0.40348320039943114</v>
      </c>
    </row>
    <row r="16" spans="1:3">
      <c r="A16">
        <v>2015</v>
      </c>
      <c r="B16" s="3">
        <v>0.34250522837929231</v>
      </c>
    </row>
    <row r="17" spans="1:3">
      <c r="A17">
        <v>2016</v>
      </c>
      <c r="B17" s="3">
        <v>0.25120656382682649</v>
      </c>
    </row>
    <row r="18" spans="1:3">
      <c r="A18" t="s">
        <v>4</v>
      </c>
      <c r="B18" s="3">
        <v>1</v>
      </c>
    </row>
    <row r="27" spans="1:3" ht="23.25">
      <c r="A27" s="8" t="s">
        <v>7</v>
      </c>
      <c r="B27" s="9"/>
      <c r="C27" s="9"/>
    </row>
    <row r="29" spans="1:3">
      <c r="A29" s="1" t="s">
        <v>8</v>
      </c>
      <c r="B29" t="s">
        <v>9</v>
      </c>
      <c r="C29" t="s">
        <v>10</v>
      </c>
    </row>
    <row r="30" spans="1:3">
      <c r="A30">
        <v>2013</v>
      </c>
      <c r="B30" s="2">
        <v>524283.44999999902</v>
      </c>
      <c r="C30" s="2">
        <v>537065.74</v>
      </c>
    </row>
    <row r="31" spans="1:3">
      <c r="A31">
        <v>2014</v>
      </c>
      <c r="B31" s="2">
        <v>75414975.640000001</v>
      </c>
      <c r="C31" s="2">
        <v>77680849.659999996</v>
      </c>
    </row>
    <row r="32" spans="1:3">
      <c r="A32">
        <v>2015</v>
      </c>
      <c r="B32" s="2">
        <v>64017593.3699999</v>
      </c>
      <c r="C32" s="2">
        <v>67917203.959999904</v>
      </c>
    </row>
    <row r="33" spans="1:3">
      <c r="A33">
        <v>2016</v>
      </c>
      <c r="B33" s="2">
        <v>46952975.670000002</v>
      </c>
      <c r="C33" s="2">
        <v>47890990.25</v>
      </c>
    </row>
    <row r="34" spans="1:3">
      <c r="A34" t="s">
        <v>4</v>
      </c>
      <c r="B34" s="2">
        <v>186909828.12999994</v>
      </c>
      <c r="C34" s="2">
        <v>194026109.6099999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5521-932E-4F12-A5FD-F96FD2B7AF89}">
  <dimension ref="A1:C5"/>
  <sheetViews>
    <sheetView workbookViewId="0">
      <selection sqref="A1:C5"/>
    </sheetView>
  </sheetViews>
  <sheetFormatPr defaultRowHeight="15"/>
  <cols>
    <col min="1" max="1" width="9.42578125" customWidth="1"/>
    <col min="2" max="2" width="12.7109375" customWidth="1"/>
    <col min="3" max="3" width="10.85546875" customWidth="1"/>
  </cols>
  <sheetData>
    <row r="1" spans="1:3">
      <c r="A1" t="s">
        <v>5</v>
      </c>
      <c r="B1" t="s">
        <v>11</v>
      </c>
      <c r="C1" t="s">
        <v>12</v>
      </c>
    </row>
    <row r="2" spans="1:3">
      <c r="A2">
        <v>2013</v>
      </c>
      <c r="B2">
        <v>524283.44999999902</v>
      </c>
      <c r="C2">
        <v>537065.74</v>
      </c>
    </row>
    <row r="3" spans="1:3">
      <c r="A3">
        <v>2014</v>
      </c>
      <c r="B3">
        <v>75414975.640000001</v>
      </c>
      <c r="C3">
        <v>77680849.659999996</v>
      </c>
    </row>
    <row r="4" spans="1:3">
      <c r="A4">
        <v>2015</v>
      </c>
      <c r="B4">
        <v>64017593.3699999</v>
      </c>
      <c r="C4">
        <v>67917203.959999904</v>
      </c>
    </row>
    <row r="5" spans="1:3">
      <c r="A5">
        <v>2016</v>
      </c>
      <c r="B5">
        <v>46952975.670000002</v>
      </c>
      <c r="C5">
        <v>47890990.25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2025-11-25T08:14:50Z</dcterms:created>
  <dcterms:modified xsi:type="dcterms:W3CDTF">2025-11-25T08:34:29Z</dcterms:modified>
  <cp:category/>
  <cp:contentStatus/>
</cp:coreProperties>
</file>